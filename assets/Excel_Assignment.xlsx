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645bdea75a7f76/Desktop/sliit sem 1/Infor Tech/"/>
    </mc:Choice>
  </mc:AlternateContent>
  <xr:revisionPtr revIDLastSave="0" documentId="8_{BFA52AB2-C756-3B42-B427-14F8A122EF80}" xr6:coauthVersionLast="47" xr6:coauthVersionMax="47" xr10:uidLastSave="{00000000-0000-0000-0000-000000000000}"/>
  <bookViews>
    <workbookView xWindow="11424" yWindow="0" windowWidth="11712" windowHeight="12336" firstSheet="2" xr2:uid="{56E17334-B658-4E6B-A0EA-015A1B655E6B}"/>
  </bookViews>
  <sheets>
    <sheet name="Bookings" sheetId="1" r:id="rId1"/>
    <sheet name="sales" sheetId="2" r:id="rId2"/>
    <sheet name="AI_Chart_Analys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6" i="2"/>
  <c r="G7" i="2"/>
  <c r="G8" i="2"/>
  <c r="G4" i="2"/>
  <c r="C12" i="2"/>
  <c r="D12" i="2"/>
  <c r="E12" i="2"/>
  <c r="F12" i="2"/>
  <c r="B12" i="2"/>
  <c r="G12" i="2"/>
  <c r="C11" i="2"/>
  <c r="D11" i="2"/>
  <c r="E11" i="2"/>
  <c r="F11" i="2"/>
  <c r="B11" i="2"/>
  <c r="C10" i="2"/>
  <c r="D10" i="2"/>
  <c r="E10" i="2"/>
  <c r="F10" i="2"/>
  <c r="B10" i="2"/>
  <c r="C9" i="2"/>
  <c r="D9" i="2"/>
  <c r="E9" i="2"/>
  <c r="F9" i="2"/>
  <c r="B9" i="2"/>
  <c r="J7" i="1"/>
  <c r="I7" i="1"/>
  <c r="H5" i="1"/>
  <c r="J5" i="1"/>
  <c r="J3" i="1"/>
  <c r="J4" i="1"/>
  <c r="J6" i="1"/>
  <c r="J2" i="1"/>
  <c r="H3" i="1"/>
  <c r="H4" i="1"/>
  <c r="H6" i="1"/>
  <c r="H2" i="1"/>
  <c r="G11" i="2"/>
  <c r="G10" i="2"/>
</calcChain>
</file>

<file path=xl/sharedStrings.xml><?xml version="1.0" encoding="utf-8"?>
<sst xmlns="http://schemas.openxmlformats.org/spreadsheetml/2006/main" count="38" uniqueCount="38">
  <si>
    <t>Date of Booking</t>
  </si>
  <si>
    <t>Surname</t>
  </si>
  <si>
    <t>Villa</t>
  </si>
  <si>
    <t>Start Date</t>
  </si>
  <si>
    <t>End Date</t>
  </si>
  <si>
    <t>Max. Number</t>
  </si>
  <si>
    <t>Price</t>
  </si>
  <si>
    <t>Deposit</t>
  </si>
  <si>
    <t>Billings</t>
  </si>
  <si>
    <t>Derbyshire</t>
  </si>
  <si>
    <t>winslow</t>
  </si>
  <si>
    <t>Harris</t>
  </si>
  <si>
    <t>Poole</t>
  </si>
  <si>
    <t>Caprice</t>
  </si>
  <si>
    <t>Miramar</t>
  </si>
  <si>
    <t>Capri</t>
  </si>
  <si>
    <t>Nuit</t>
  </si>
  <si>
    <t>Soleil</t>
  </si>
  <si>
    <t>Price Per Person</t>
  </si>
  <si>
    <t>Balance Due</t>
  </si>
  <si>
    <t>Total</t>
  </si>
  <si>
    <t>Cellular Phones Sales During Five Years</t>
  </si>
  <si>
    <t>Q1 2008</t>
  </si>
  <si>
    <t>Q1 2009</t>
  </si>
  <si>
    <t>Q1 2010</t>
  </si>
  <si>
    <t>Q1 2011</t>
  </si>
  <si>
    <t>Q1 2012</t>
  </si>
  <si>
    <t>Total Sales</t>
  </si>
  <si>
    <t>Verizon</t>
  </si>
  <si>
    <t>ATT</t>
  </si>
  <si>
    <t>All-Tel</t>
  </si>
  <si>
    <t>Sprint</t>
  </si>
  <si>
    <t>T-Mobile</t>
  </si>
  <si>
    <t>Yearly Sales</t>
  </si>
  <si>
    <t>Max</t>
  </si>
  <si>
    <t>Min</t>
  </si>
  <si>
    <t>Average</t>
  </si>
  <si>
    <t>Market Shares of Major Phone Providers in the 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</si>
</sst>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[$€-1]"/>
    <numFmt numFmtId="165" formatCode="mmm\-dd"/>
    <numFmt numFmtId="166" formatCode="#,##0.00\ [$€-1]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/>
    <xf numFmtId="164" fontId="2" fillId="0" borderId="1" xfId="0" applyNumberFormat="1" applyFont="1" applyBorder="1"/>
    <xf numFmtId="165" fontId="3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/>
    <xf numFmtId="166" fontId="2" fillId="0" borderId="1" xfId="0" applyNumberFormat="1" applyFont="1" applyBorder="1"/>
    <xf numFmtId="0" fontId="4" fillId="2" borderId="1" xfId="0" applyFont="1" applyFill="1" applyBorder="1" applyAlignment="1">
      <alignment wrapText="1"/>
    </xf>
    <xf numFmtId="166" fontId="4" fillId="2" borderId="1" xfId="0" applyNumberFormat="1" applyFont="1" applyFill="1" applyBorder="1"/>
    <xf numFmtId="164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 wrapText="1"/>
    </xf>
    <xf numFmtId="166" fontId="3" fillId="3" borderId="1" xfId="0" applyNumberFormat="1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8" fillId="0" borderId="0" xfId="0" applyFont="1"/>
    <xf numFmtId="3" fontId="1" fillId="0" borderId="0" xfId="0" applyNumberFormat="1" applyFont="1"/>
    <xf numFmtId="166" fontId="5" fillId="2" borderId="1" xfId="0" applyNumberFormat="1" applyFont="1" applyFill="1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sales!$A$4</c:f>
              <c:strCache>
                <c:ptCount val="1"/>
                <c:pt idx="0">
                  <c:v>Verizon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sales!$B$3:$F$3</c:f>
              <c:strCache>
                <c:ptCount val="5"/>
                <c:pt idx="0">
                  <c:v>Q1 2008</c:v>
                </c:pt>
                <c:pt idx="1">
                  <c:v>Q1 2009</c:v>
                </c:pt>
                <c:pt idx="2">
                  <c:v>Q1 2010</c:v>
                </c:pt>
                <c:pt idx="3">
                  <c:v>Q1 2011</c:v>
                </c:pt>
                <c:pt idx="4">
                  <c:v>Q1 2012</c:v>
                </c:pt>
              </c:strCache>
            </c:strRef>
          </c:cat>
          <c:val>
            <c:numRef>
              <c:f>sales!$B$4:$F$4</c:f>
              <c:numCache>
                <c:formatCode>#,##0</c:formatCode>
                <c:ptCount val="5"/>
                <c:pt idx="0">
                  <c:v>213554</c:v>
                </c:pt>
                <c:pt idx="1">
                  <c:v>655487</c:v>
                </c:pt>
                <c:pt idx="2">
                  <c:v>754665</c:v>
                </c:pt>
                <c:pt idx="3">
                  <c:v>884657</c:v>
                </c:pt>
                <c:pt idx="4">
                  <c:v>922354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5-4D4A-808F-37B559636754}"/>
            </c:ext>
          </c:extLst>
        </c:ser>
        <c:ser>
          <c:idx val="1"/>
          <c:order val="1"/>
          <c:tx>
            <c:strRef>
              <c:f>sales!$A$5</c:f>
              <c:strCache>
                <c:ptCount val="1"/>
                <c:pt idx="0">
                  <c:v>ATT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sales!$B$3:$F$3</c:f>
              <c:strCache>
                <c:ptCount val="5"/>
                <c:pt idx="0">
                  <c:v>Q1 2008</c:v>
                </c:pt>
                <c:pt idx="1">
                  <c:v>Q1 2009</c:v>
                </c:pt>
                <c:pt idx="2">
                  <c:v>Q1 2010</c:v>
                </c:pt>
                <c:pt idx="3">
                  <c:v>Q1 2011</c:v>
                </c:pt>
                <c:pt idx="4">
                  <c:v>Q1 2012</c:v>
                </c:pt>
              </c:strCache>
            </c:strRef>
          </c:cat>
          <c:val>
            <c:numRef>
              <c:f>sales!$B$5:$F$5</c:f>
              <c:numCache>
                <c:formatCode>#,##0</c:formatCode>
                <c:ptCount val="5"/>
                <c:pt idx="0">
                  <c:v>323154</c:v>
                </c:pt>
                <c:pt idx="1">
                  <c:v>421325</c:v>
                </c:pt>
                <c:pt idx="2">
                  <c:v>512312</c:v>
                </c:pt>
                <c:pt idx="3">
                  <c:v>554654</c:v>
                </c:pt>
                <c:pt idx="4">
                  <c:v>864458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35-4D4A-808F-37B559636754}"/>
            </c:ext>
          </c:extLst>
        </c:ser>
        <c:ser>
          <c:idx val="2"/>
          <c:order val="2"/>
          <c:tx>
            <c:strRef>
              <c:f>sales!$A$6</c:f>
              <c:strCache>
                <c:ptCount val="1"/>
                <c:pt idx="0">
                  <c:v>All-Tel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sales!$B$3:$F$3</c:f>
              <c:strCache>
                <c:ptCount val="5"/>
                <c:pt idx="0">
                  <c:v>Q1 2008</c:v>
                </c:pt>
                <c:pt idx="1">
                  <c:v>Q1 2009</c:v>
                </c:pt>
                <c:pt idx="2">
                  <c:v>Q1 2010</c:v>
                </c:pt>
                <c:pt idx="3">
                  <c:v>Q1 2011</c:v>
                </c:pt>
                <c:pt idx="4">
                  <c:v>Q1 2012</c:v>
                </c:pt>
              </c:strCache>
            </c:strRef>
          </c:cat>
          <c:val>
            <c:numRef>
              <c:f>sales!$B$6:$F$6</c:f>
              <c:numCache>
                <c:formatCode>#,##0</c:formatCode>
                <c:ptCount val="5"/>
                <c:pt idx="0">
                  <c:v>402513</c:v>
                </c:pt>
                <c:pt idx="1">
                  <c:v>521325</c:v>
                </c:pt>
                <c:pt idx="2">
                  <c:v>521145</c:v>
                </c:pt>
                <c:pt idx="3">
                  <c:v>564879</c:v>
                </c:pt>
                <c:pt idx="4">
                  <c:v>587546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35-4D4A-808F-37B559636754}"/>
            </c:ext>
          </c:extLst>
        </c:ser>
        <c:ser>
          <c:idx val="3"/>
          <c:order val="3"/>
          <c:tx>
            <c:strRef>
              <c:f>sales!$A$7</c:f>
              <c:strCache>
                <c:ptCount val="1"/>
                <c:pt idx="0">
                  <c:v>Sprint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sales!$B$3:$F$3</c:f>
              <c:strCache>
                <c:ptCount val="5"/>
                <c:pt idx="0">
                  <c:v>Q1 2008</c:v>
                </c:pt>
                <c:pt idx="1">
                  <c:v>Q1 2009</c:v>
                </c:pt>
                <c:pt idx="2">
                  <c:v>Q1 2010</c:v>
                </c:pt>
                <c:pt idx="3">
                  <c:v>Q1 2011</c:v>
                </c:pt>
                <c:pt idx="4">
                  <c:v>Q1 2012</c:v>
                </c:pt>
              </c:strCache>
            </c:strRef>
          </c:cat>
          <c:val>
            <c:numRef>
              <c:f>sales!$B$7:$F$7</c:f>
              <c:numCache>
                <c:formatCode>#,##0</c:formatCode>
                <c:ptCount val="5"/>
                <c:pt idx="0">
                  <c:v>186545</c:v>
                </c:pt>
                <c:pt idx="1">
                  <c:v>199844</c:v>
                </c:pt>
                <c:pt idx="2">
                  <c:v>256455</c:v>
                </c:pt>
                <c:pt idx="3">
                  <c:v>384564</c:v>
                </c:pt>
                <c:pt idx="4">
                  <c:v>584654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35-4D4A-808F-37B559636754}"/>
            </c:ext>
          </c:extLst>
        </c:ser>
        <c:ser>
          <c:idx val="4"/>
          <c:order val="4"/>
          <c:tx>
            <c:strRef>
              <c:f>sales!$A$8</c:f>
              <c:strCache>
                <c:ptCount val="1"/>
                <c:pt idx="0">
                  <c:v>T-Mobile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sales!$B$3:$F$3</c:f>
              <c:strCache>
                <c:ptCount val="5"/>
                <c:pt idx="0">
                  <c:v>Q1 2008</c:v>
                </c:pt>
                <c:pt idx="1">
                  <c:v>Q1 2009</c:v>
                </c:pt>
                <c:pt idx="2">
                  <c:v>Q1 2010</c:v>
                </c:pt>
                <c:pt idx="3">
                  <c:v>Q1 2011</c:v>
                </c:pt>
                <c:pt idx="4">
                  <c:v>Q1 2012</c:v>
                </c:pt>
              </c:strCache>
            </c:strRef>
          </c:cat>
          <c:val>
            <c:numRef>
              <c:f>sales!$B$8:$F$8</c:f>
              <c:numCache>
                <c:formatCode>#,##0</c:formatCode>
                <c:ptCount val="5"/>
                <c:pt idx="0">
                  <c:v>152231</c:v>
                </c:pt>
                <c:pt idx="1">
                  <c:v>251325</c:v>
                </c:pt>
                <c:pt idx="2">
                  <c:v>321123</c:v>
                </c:pt>
                <c:pt idx="3">
                  <c:v>564458</c:v>
                </c:pt>
                <c:pt idx="4">
                  <c:v>654854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35-4D4A-808F-37B559636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073456"/>
        <c:axId val="1087437808"/>
      </c:lineChart>
      <c:catAx>
        <c:axId val="109007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37808"/>
        <c:crosses val="autoZero"/>
        <c:auto val="1"/>
        <c:lblAlgn val="ctr"/>
        <c:lblOffset val="100"/>
        <c:noMultiLvlLbl val="0"/>
      </c:catAx>
      <c:valAx>
        <c:axId val="108743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07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76206</xdr:colOff>
      <xdr:row>0</xdr:row>
      <xdr:rowOff>72390</xdr:rowOff>
    </xdr:from>
    <xdr:to>
      <xdr:col>14</xdr:col>
      <xdr:colOff>381006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066DB-7159-89F1-479B-AE2284049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0</xdr:row>
      <xdr:rowOff>137160</xdr:rowOff>
    </xdr:from>
    <xdr:to>
      <xdr:col>7</xdr:col>
      <xdr:colOff>220980</xdr:colOff>
      <xdr:row>24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DB79C2-AC0D-920A-4E5E-1AEB25FD4F88}"/>
            </a:ext>
          </a:extLst>
        </xdr:cNvPr>
        <xdr:cNvSpPr txBox="1"/>
      </xdr:nvSpPr>
      <xdr:spPr>
        <a:xfrm>
          <a:off x="403860" y="137160"/>
          <a:ext cx="4084320" cy="43281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Prompt:</a:t>
          </a:r>
        </a:p>
        <a:p>
          <a:r>
            <a:rPr lang="en-US" sz="1200" i="0">
              <a:latin typeface="Times New Roman" panose="02020603050405020304" pitchFamily="18" charset="0"/>
              <a:cs typeface="Times New Roman" panose="02020603050405020304" pitchFamily="18" charset="0"/>
            </a:rPr>
            <a:t> "Interpret the chart showing mobile phone market shares from 2015 to 2020 and describe the overall trends among Verizon, AT&amp;T, Sprint, T-Mobile, and All-Tel."</a:t>
          </a:r>
        </a:p>
        <a:p>
          <a:endParaRPr lang="en-US" sz="120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>
            <a:buNone/>
          </a:pPr>
          <a:r>
            <a:rPr lang="en-US" sz="1200" b="1">
              <a:effectLst/>
            </a:rPr>
            <a:t>AI Response:</a:t>
          </a:r>
        </a:p>
        <a:p>
          <a:pPr>
            <a:buNone/>
          </a:pPr>
          <a:r>
            <a:rPr lang="en-US" sz="1200">
              <a:effectLst/>
            </a:rPr>
            <a:t> </a:t>
          </a:r>
          <a:r>
            <a:rPr lang="en-US" sz="1200" i="1">
              <a:effectLst/>
            </a:rPr>
            <a:t>"From 2015 to 2020, overall mobile phone sales increased steadily. Verizon and AT&amp;T consistently held the largest shares, showing gradual growth. T-Mobile displayed a strong upward trend, narrowing the gap with Sprint. Sprint’s market share remained relatively flat with minor fluctuations, while All-Tel experienced a decline over the period. The data suggests consolidation among the top two providers, with T-Mobile emerging as a stronger competitor by 2020."</a:t>
          </a:r>
        </a:p>
        <a:p>
          <a:pPr>
            <a:buNone/>
          </a:pPr>
          <a:endParaRPr lang="en-US" sz="1200" i="1">
            <a:effectLst/>
          </a:endParaRPr>
        </a:p>
        <a:p>
          <a:pPr>
            <a:buNone/>
          </a:pPr>
          <a:r>
            <a:rPr lang="en-US" sz="1200" i="1">
              <a:effectLst/>
            </a:rPr>
            <a:t>MY Idea</a:t>
          </a:r>
        </a:p>
        <a:p>
          <a:pPr>
            <a:buNone/>
          </a:pPr>
          <a:endParaRPr lang="en-US" sz="1200" i="1">
            <a:effectLst/>
          </a:endParaRPr>
        </a:p>
        <a:p>
          <a:pPr>
            <a:buNone/>
          </a:pPr>
          <a:r>
            <a:rPr lang="en-US" sz="1200"/>
            <a:t>I agree with the AI’s reading of the chart as Verizon and AT&amp;T are clearly the leaders with consistent growth and T-Mobile is growing rapidly. Sprint’s line is relatively flat, All-Tel declines. The AI’s summary corresponds to the visual evidence in the chart.”</a:t>
          </a:r>
        </a:p>
        <a:p>
          <a:endParaRPr lang="en-US" sz="1200" i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8C90-C964-4AEB-BB6A-B9220A602E9E}">
  <dimension ref="A1:J7"/>
  <sheetViews>
    <sheetView tabSelected="1" topLeftCell="A2" zoomScale="64" zoomScaleNormal="64" workbookViewId="0">
      <selection activeCell="CG11" sqref="CG11"/>
    </sheetView>
  </sheetViews>
  <sheetFormatPr defaultRowHeight="15" x14ac:dyDescent="0.2"/>
  <cols>
    <col min="1" max="9" width="12.375" customWidth="1"/>
  </cols>
  <sheetData>
    <row r="1" spans="1:10" ht="31.5" x14ac:dyDescent="0.2">
      <c r="A1" s="4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2" t="s">
        <v>5</v>
      </c>
      <c r="G1" s="13" t="s">
        <v>6</v>
      </c>
      <c r="H1" s="14" t="s">
        <v>18</v>
      </c>
      <c r="I1" s="15" t="s">
        <v>7</v>
      </c>
      <c r="J1" s="7" t="s">
        <v>19</v>
      </c>
    </row>
    <row r="2" spans="1:10" ht="15.6" customHeight="1" x14ac:dyDescent="0.2">
      <c r="A2" s="5">
        <v>46055</v>
      </c>
      <c r="B2" s="2" t="s">
        <v>8</v>
      </c>
      <c r="C2" s="2" t="s">
        <v>13</v>
      </c>
      <c r="D2" s="5">
        <v>46174</v>
      </c>
      <c r="E2" s="5">
        <v>46181</v>
      </c>
      <c r="F2" s="1">
        <v>5</v>
      </c>
      <c r="G2" s="3">
        <v>209</v>
      </c>
      <c r="H2" s="6">
        <f>$G2/$F2</f>
        <v>41.8</v>
      </c>
      <c r="I2" s="3">
        <v>209</v>
      </c>
      <c r="J2" s="8">
        <f>$G2-$I2</f>
        <v>0</v>
      </c>
    </row>
    <row r="3" spans="1:10" ht="15.6" customHeight="1" x14ac:dyDescent="0.2">
      <c r="A3" s="5">
        <v>46078</v>
      </c>
      <c r="B3" s="2" t="s">
        <v>9</v>
      </c>
      <c r="C3" s="2" t="s">
        <v>14</v>
      </c>
      <c r="D3" s="5">
        <v>46188</v>
      </c>
      <c r="E3" s="5">
        <v>46195</v>
      </c>
      <c r="F3" s="1">
        <v>4</v>
      </c>
      <c r="G3" s="3">
        <v>354</v>
      </c>
      <c r="H3" s="6">
        <f t="shared" ref="H3:H6" si="0">$G3/$F3</f>
        <v>88.5</v>
      </c>
      <c r="I3" s="3">
        <v>100</v>
      </c>
      <c r="J3" s="8">
        <f t="shared" ref="J3:J6" si="1">$G3-$I3</f>
        <v>254</v>
      </c>
    </row>
    <row r="4" spans="1:10" ht="15.6" customHeight="1" x14ac:dyDescent="0.2">
      <c r="A4" s="5">
        <v>46084</v>
      </c>
      <c r="B4" s="2" t="s">
        <v>10</v>
      </c>
      <c r="C4" s="2" t="s">
        <v>15</v>
      </c>
      <c r="D4" s="5">
        <v>46167</v>
      </c>
      <c r="E4" s="5">
        <v>46174</v>
      </c>
      <c r="F4" s="1">
        <v>6</v>
      </c>
      <c r="G4" s="3">
        <v>567</v>
      </c>
      <c r="H4" s="6">
        <f t="shared" si="0"/>
        <v>94.5</v>
      </c>
      <c r="I4" s="3">
        <v>250</v>
      </c>
      <c r="J4" s="8">
        <f t="shared" si="1"/>
        <v>317</v>
      </c>
    </row>
    <row r="5" spans="1:10" ht="15.6" customHeight="1" x14ac:dyDescent="0.2">
      <c r="A5" s="5">
        <v>46096</v>
      </c>
      <c r="B5" s="2" t="s">
        <v>11</v>
      </c>
      <c r="C5" s="2" t="s">
        <v>16</v>
      </c>
      <c r="D5" s="5">
        <v>46188</v>
      </c>
      <c r="E5" s="5">
        <v>46195</v>
      </c>
      <c r="F5" s="1">
        <v>3</v>
      </c>
      <c r="G5" s="3">
        <v>295</v>
      </c>
      <c r="H5" s="6">
        <f>$G5/$F5</f>
        <v>98.333333333333329</v>
      </c>
      <c r="I5" s="3">
        <v>248</v>
      </c>
      <c r="J5" s="8">
        <f>$G5-$I5</f>
        <v>47</v>
      </c>
    </row>
    <row r="6" spans="1:10" ht="15.6" customHeight="1" x14ac:dyDescent="0.2">
      <c r="A6" s="5">
        <v>46128</v>
      </c>
      <c r="B6" s="2" t="s">
        <v>12</v>
      </c>
      <c r="C6" s="2" t="s">
        <v>17</v>
      </c>
      <c r="D6" s="5">
        <v>46160</v>
      </c>
      <c r="E6" s="5">
        <v>46198</v>
      </c>
      <c r="F6" s="1">
        <v>4</v>
      </c>
      <c r="G6" s="3">
        <v>680</v>
      </c>
      <c r="H6" s="6">
        <f t="shared" si="0"/>
        <v>170</v>
      </c>
      <c r="I6" s="3">
        <v>300</v>
      </c>
      <c r="J6" s="8">
        <f t="shared" si="1"/>
        <v>380</v>
      </c>
    </row>
    <row r="7" spans="1:10" x14ac:dyDescent="0.2">
      <c r="B7" s="20" t="s">
        <v>20</v>
      </c>
      <c r="C7" s="20"/>
      <c r="D7" s="20"/>
      <c r="E7" s="20"/>
      <c r="F7" s="1"/>
      <c r="G7" s="1"/>
      <c r="H7" s="1"/>
      <c r="I7" s="9">
        <f>SUM(I2:I6)</f>
        <v>1107</v>
      </c>
      <c r="J7" s="19">
        <f>SUM(J2:J6)</f>
        <v>998</v>
      </c>
    </row>
  </sheetData>
  <mergeCells count="1">
    <mergeCell ref="B7:E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8645-B610-4104-B34B-26BCD4821FC7}">
  <dimension ref="A1:G13"/>
  <sheetViews>
    <sheetView workbookViewId="0">
      <selection activeCell="G15" sqref="G15"/>
    </sheetView>
  </sheetViews>
  <sheetFormatPr defaultRowHeight="15" x14ac:dyDescent="0.2"/>
  <cols>
    <col min="1" max="6" width="12.375" customWidth="1"/>
    <col min="7" max="7" width="9.953125" customWidth="1"/>
  </cols>
  <sheetData>
    <row r="1" spans="1:7" ht="18" x14ac:dyDescent="0.2">
      <c r="A1" s="22" t="s">
        <v>37</v>
      </c>
      <c r="B1" s="23"/>
      <c r="C1" s="23"/>
      <c r="D1" s="23"/>
      <c r="E1" s="23"/>
      <c r="F1" s="23"/>
      <c r="G1" s="23"/>
    </row>
    <row r="2" spans="1:7" x14ac:dyDescent="0.2">
      <c r="A2" s="21" t="s">
        <v>21</v>
      </c>
      <c r="B2" s="21"/>
      <c r="C2" s="21"/>
      <c r="D2" s="21"/>
      <c r="E2" s="21"/>
      <c r="F2" s="21"/>
      <c r="G2" s="21"/>
    </row>
    <row r="3" spans="1:7" x14ac:dyDescent="0.2">
      <c r="A3" s="17"/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</row>
    <row r="4" spans="1:7" x14ac:dyDescent="0.2">
      <c r="A4" s="17" t="s">
        <v>28</v>
      </c>
      <c r="B4" s="18">
        <v>213554</v>
      </c>
      <c r="C4" s="18">
        <v>655487</v>
      </c>
      <c r="D4" s="18">
        <v>754665</v>
      </c>
      <c r="E4" s="18">
        <v>884657</v>
      </c>
      <c r="F4" s="18">
        <v>922354</v>
      </c>
      <c r="G4" s="18">
        <f>SUM($B4:$F4)</f>
        <v>3430717</v>
      </c>
    </row>
    <row r="5" spans="1:7" x14ac:dyDescent="0.2">
      <c r="A5" s="17" t="s">
        <v>29</v>
      </c>
      <c r="B5" s="18">
        <v>323154</v>
      </c>
      <c r="C5" s="18">
        <v>421325</v>
      </c>
      <c r="D5" s="18">
        <v>512312</v>
      </c>
      <c r="E5" s="18">
        <v>554654</v>
      </c>
      <c r="F5" s="18">
        <v>864458</v>
      </c>
      <c r="G5" s="18">
        <f t="shared" ref="G5:G12" si="0">SUM($B5:$F5)</f>
        <v>2675903</v>
      </c>
    </row>
    <row r="6" spans="1:7" x14ac:dyDescent="0.2">
      <c r="A6" s="17" t="s">
        <v>30</v>
      </c>
      <c r="B6" s="18">
        <v>402513</v>
      </c>
      <c r="C6" s="18">
        <v>521325</v>
      </c>
      <c r="D6" s="18">
        <v>521145</v>
      </c>
      <c r="E6" s="18">
        <v>564879</v>
      </c>
      <c r="F6" s="18">
        <v>587546</v>
      </c>
      <c r="G6" s="18">
        <f t="shared" si="0"/>
        <v>2597408</v>
      </c>
    </row>
    <row r="7" spans="1:7" x14ac:dyDescent="0.2">
      <c r="A7" s="17" t="s">
        <v>31</v>
      </c>
      <c r="B7" s="18">
        <v>186545</v>
      </c>
      <c r="C7" s="18">
        <v>199844</v>
      </c>
      <c r="D7" s="18">
        <v>256455</v>
      </c>
      <c r="E7" s="18">
        <v>384564</v>
      </c>
      <c r="F7" s="18">
        <v>584654</v>
      </c>
      <c r="G7" s="18">
        <f t="shared" si="0"/>
        <v>1612062</v>
      </c>
    </row>
    <row r="8" spans="1:7" x14ac:dyDescent="0.2">
      <c r="A8" s="17" t="s">
        <v>32</v>
      </c>
      <c r="B8" s="18">
        <v>152231</v>
      </c>
      <c r="C8" s="18">
        <v>251325</v>
      </c>
      <c r="D8" s="18">
        <v>321123</v>
      </c>
      <c r="E8" s="18">
        <v>564458</v>
      </c>
      <c r="F8" s="18">
        <v>654854</v>
      </c>
      <c r="G8" s="18">
        <f t="shared" si="0"/>
        <v>1943991</v>
      </c>
    </row>
    <row r="9" spans="1:7" x14ac:dyDescent="0.2">
      <c r="A9" s="17" t="s">
        <v>33</v>
      </c>
      <c r="B9" s="18">
        <f>SUM(B4:B8)</f>
        <v>1277997</v>
      </c>
      <c r="C9" s="18">
        <f t="shared" ref="C9:F9" si="1">SUM(C4:C8)</f>
        <v>2049306</v>
      </c>
      <c r="D9" s="18">
        <f t="shared" si="1"/>
        <v>2365700</v>
      </c>
      <c r="E9" s="18">
        <f t="shared" si="1"/>
        <v>2953212</v>
      </c>
      <c r="F9" s="18">
        <f t="shared" si="1"/>
        <v>3613866</v>
      </c>
      <c r="G9" s="18"/>
    </row>
    <row r="10" spans="1:7" x14ac:dyDescent="0.2">
      <c r="A10" s="17" t="s">
        <v>34</v>
      </c>
      <c r="B10" s="18">
        <f>MAX(B4:B8)</f>
        <v>402513</v>
      </c>
      <c r="C10" s="18">
        <f t="shared" ref="C10:D10" si="2">MAX(C4:C8)</f>
        <v>655487</v>
      </c>
      <c r="D10" s="18">
        <f t="shared" si="2"/>
        <v>754665</v>
      </c>
      <c r="E10" s="18">
        <f t="shared" ref="E10:F10" si="3">MAX(E4:E8)</f>
        <v>884657</v>
      </c>
      <c r="F10" s="18">
        <f t="shared" si="3"/>
        <v>922354</v>
      </c>
      <c r="G10" s="18">
        <f t="shared" si="0"/>
        <v>3619676</v>
      </c>
    </row>
    <row r="11" spans="1:7" x14ac:dyDescent="0.2">
      <c r="A11" s="17" t="s">
        <v>35</v>
      </c>
      <c r="B11" s="18">
        <f>MIN(B4:B8)</f>
        <v>152231</v>
      </c>
      <c r="C11" s="18">
        <f t="shared" ref="C11:F11" si="4">MIN(C4:C8)</f>
        <v>199844</v>
      </c>
      <c r="D11" s="18">
        <f t="shared" si="4"/>
        <v>256455</v>
      </c>
      <c r="E11" s="18">
        <f t="shared" si="4"/>
        <v>384564</v>
      </c>
      <c r="F11" s="18">
        <f t="shared" si="4"/>
        <v>584654</v>
      </c>
      <c r="G11" s="18">
        <f t="shared" si="0"/>
        <v>1577748</v>
      </c>
    </row>
    <row r="12" spans="1:7" x14ac:dyDescent="0.2">
      <c r="A12" s="17" t="s">
        <v>36</v>
      </c>
      <c r="B12" s="18">
        <f>AVERAGE(B4:B8)</f>
        <v>255599.4</v>
      </c>
      <c r="C12" s="18">
        <f t="shared" ref="C12:F12" si="5">AVERAGE(C4:C8)</f>
        <v>409861.2</v>
      </c>
      <c r="D12" s="18">
        <f t="shared" si="5"/>
        <v>473140</v>
      </c>
      <c r="E12" s="18">
        <f t="shared" si="5"/>
        <v>590642.4</v>
      </c>
      <c r="F12" s="18">
        <f t="shared" si="5"/>
        <v>722773.2</v>
      </c>
      <c r="G12" s="18">
        <f t="shared" si="0"/>
        <v>2452016.2000000002</v>
      </c>
    </row>
    <row r="13" spans="1:7" x14ac:dyDescent="0.2">
      <c r="A13" s="16"/>
      <c r="B13" s="16"/>
      <c r="C13" s="16"/>
      <c r="D13" s="16"/>
      <c r="E13" s="16"/>
      <c r="F13" s="16"/>
      <c r="G13" s="16"/>
    </row>
  </sheetData>
  <mergeCells count="2">
    <mergeCell ref="A2:G2"/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E1D46-C735-42A4-997B-1A8AB932D4AF}">
  <dimension ref="A1"/>
  <sheetViews>
    <sheetView workbookViewId="0"/>
  </sheetViews>
  <sheetFormatPr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sales</vt:lpstr>
      <vt:lpstr>AI_Chart_Analysis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Eshini Chamathka</dc:creator>
  <cp:lastModifiedBy>Eshini Chamathka</cp:lastModifiedBy>
  <dcterms:created xsi:type="dcterms:W3CDTF">2026-08-07T08:30:22Z</dcterms:created>
  <dcterms:modified xsi:type="dcterms:W3CDTF">2026-08-08T06:01:32Z</dcterms:modified>
</cp:coreProperties>
</file>